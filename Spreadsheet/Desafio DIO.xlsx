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 defaultThemeVersion="166925"/>
  <xr:revisionPtr revIDLastSave="0" documentId="8_{2E94CA23-0ACA-4394-9DCC-92BFCA5AAFE2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Data" sheetId="1" r:id="rId1"/>
    <sheet name="Controller" sheetId="2" r:id="rId2"/>
    <sheet name="Save" sheetId="4" r:id="rId3"/>
    <sheet name="Dashboard" sheetId="3" r:id="rId4"/>
  </sheets>
  <definedNames>
    <definedName name="SegmentaçãodeDados_Mês">#N/A</definedName>
  </definedNames>
  <calcPr calcId="191028"/>
  <pivotCaches>
    <pivotCache cacheId="89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E2" i="4" l="1"/>
</calcChain>
</file>

<file path=xl/sharedStrings.xml><?xml version="1.0" encoding="utf-8"?>
<sst xmlns="http://schemas.openxmlformats.org/spreadsheetml/2006/main" count="333" uniqueCount="98">
  <si>
    <t>Data</t>
  </si>
  <si>
    <t>Mês</t>
  </si>
  <si>
    <t>Tipo</t>
  </si>
  <si>
    <t>Categoria</t>
  </si>
  <si>
    <t>Descrição</t>
  </si>
  <si>
    <t>Valor</t>
  </si>
  <si>
    <t>Operação bancária</t>
  </si>
  <si>
    <t>Status</t>
  </si>
  <si>
    <t>Despesa</t>
  </si>
  <si>
    <t>Alimentacao</t>
  </si>
  <si>
    <t>Supermercado BH</t>
  </si>
  <si>
    <t>Cartao de credito</t>
  </si>
  <si>
    <t>Pago</t>
  </si>
  <si>
    <t>Receita</t>
  </si>
  <si>
    <t>Salario</t>
  </si>
  <si>
    <t>Salario CLT Janeiro</t>
  </si>
  <si>
    <t>Deposito</t>
  </si>
  <si>
    <t>Transporte</t>
  </si>
  <si>
    <t>Uber para trabalho</t>
  </si>
  <si>
    <t>Lazer</t>
  </si>
  <si>
    <t>Assinatura Netflix</t>
  </si>
  <si>
    <t>Debito automatico</t>
  </si>
  <si>
    <t>Moradia</t>
  </si>
  <si>
    <t>Conta de luz CEMIG</t>
  </si>
  <si>
    <t>Pix</t>
  </si>
  <si>
    <t>Conta de agua</t>
  </si>
  <si>
    <t>Boleto</t>
  </si>
  <si>
    <t>Almoco restaurante</t>
  </si>
  <si>
    <t>Cartao de debito</t>
  </si>
  <si>
    <t>Renda extra</t>
  </si>
  <si>
    <t>Freela desenvolvimento</t>
  </si>
  <si>
    <t>Educacao</t>
  </si>
  <si>
    <t>Curso online DIO</t>
  </si>
  <si>
    <t>Gasolina carro</t>
  </si>
  <si>
    <t>Saude</t>
  </si>
  <si>
    <t>Farmacia remedios</t>
  </si>
  <si>
    <t>Cinema shopping</t>
  </si>
  <si>
    <t>IFood jantar</t>
  </si>
  <si>
    <t>Internet</t>
  </si>
  <si>
    <t>Plano fibra 300Mb</t>
  </si>
  <si>
    <t>Investimentos</t>
  </si>
  <si>
    <t>Dividendos acoes</t>
  </si>
  <si>
    <t>Credito em conta</t>
  </si>
  <si>
    <t>Pets</t>
  </si>
  <si>
    <t>Racao para cachorro</t>
  </si>
  <si>
    <t>Padaria cafe da manha</t>
  </si>
  <si>
    <t>Dinheiro</t>
  </si>
  <si>
    <t>Game Xbox promocao</t>
  </si>
  <si>
    <t>Onibus intermunicipal</t>
  </si>
  <si>
    <t>Condominio</t>
  </si>
  <si>
    <t>Venda item Mercado Livre</t>
  </si>
  <si>
    <t>Almoco trabalho</t>
  </si>
  <si>
    <t>Livro programacao Python</t>
  </si>
  <si>
    <t>Consulta odontologica</t>
  </si>
  <si>
    <t>Assinatura Game Pass</t>
  </si>
  <si>
    <t>Uber retorno casa</t>
  </si>
  <si>
    <t>Bico manutencao eletrica</t>
  </si>
  <si>
    <t>Supermercado mensal</t>
  </si>
  <si>
    <t>Aluguel apartamento</t>
  </si>
  <si>
    <t>Renovacao dominio</t>
  </si>
  <si>
    <t>Abastecimento moto</t>
  </si>
  <si>
    <t>Lanchonete amigos</t>
  </si>
  <si>
    <t>Juros poupanca</t>
  </si>
  <si>
    <t>Plano de saude</t>
  </si>
  <si>
    <t>Self service almoco</t>
  </si>
  <si>
    <t>Assinatura plataforma cursos</t>
  </si>
  <si>
    <t>Estacionamento centro</t>
  </si>
  <si>
    <t>Assinatura Spotify</t>
  </si>
  <si>
    <t>Aula particular Python</t>
  </si>
  <si>
    <t>Manutencao eletrica</t>
  </si>
  <si>
    <t>Compras feira livre</t>
  </si>
  <si>
    <t>Troca de oleo</t>
  </si>
  <si>
    <t>Veterinario vacina</t>
  </si>
  <si>
    <t>Bar com amigos</t>
  </si>
  <si>
    <t>Exames laboratoriais</t>
  </si>
  <si>
    <t>Venda de acao</t>
  </si>
  <si>
    <t>Pizza delivery</t>
  </si>
  <si>
    <t>Recarga celular</t>
  </si>
  <si>
    <t>Curso de dados online</t>
  </si>
  <si>
    <t>Planejado</t>
  </si>
  <si>
    <t>Uber aeroporto</t>
  </si>
  <si>
    <t>Projeto freelancer site</t>
  </si>
  <si>
    <t>Previsto</t>
  </si>
  <si>
    <t>Reparo hidraulico</t>
  </si>
  <si>
    <t>Mercado reposicao</t>
  </si>
  <si>
    <t>Compra jogo Steam</t>
  </si>
  <si>
    <t>Farmacia itens basicos</t>
  </si>
  <si>
    <t>Gasolina viagem</t>
  </si>
  <si>
    <t>Salario CLT Fevereiro adiantamento</t>
  </si>
  <si>
    <t>Renovacao antivirus</t>
  </si>
  <si>
    <t>Passeio em familia</t>
  </si>
  <si>
    <t>Venda acessorio PC</t>
  </si>
  <si>
    <t>Soma de Valor</t>
  </si>
  <si>
    <t>Total Geral</t>
  </si>
  <si>
    <t>Data de lançamento</t>
  </si>
  <si>
    <t>Valor guardado</t>
  </si>
  <si>
    <t xml:space="preserve">Total guardado </t>
  </si>
  <si>
    <t>Meta para guardar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</si>
</sst>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5"/>
      <color rgb="FF000000"/>
      <name val="Calibri"/>
      <scheme val="minor"/>
    </font>
    <font>
      <sz val="12"/>
      <color rgb="FF08D40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8D40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1" fillId="0" borderId="0" xfId="0" applyNumberFormat="1" applyFont="1" applyBorder="1" applyAlignment="1"/>
    <xf numFmtId="0" fontId="0" fillId="0" borderId="0" xfId="0" pivotButton="1"/>
    <xf numFmtId="0" fontId="0" fillId="2" borderId="0" xfId="0" applyFill="1"/>
    <xf numFmtId="0" fontId="0" fillId="3" borderId="0" xfId="0" applyFill="1"/>
    <xf numFmtId="0" fontId="0" fillId="0" borderId="1" xfId="0" applyBorder="1"/>
    <xf numFmtId="1" fontId="0" fillId="0" borderId="0" xfId="0" applyNumberFormat="1"/>
    <xf numFmtId="1" fontId="1" fillId="0" borderId="0" xfId="0" applyNumberFormat="1" applyFont="1" applyBorder="1" applyAlignment="1"/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164" fontId="3" fillId="4" borderId="0" xfId="0" applyNumberFormat="1" applyFont="1" applyFill="1"/>
  </cellXfs>
  <cellStyles count="1">
    <cellStyle name="Normal" xfId="0" builtinId="0"/>
  </cellStyles>
  <dxfs count="12">
    <dxf>
      <numFmt numFmtId="164" formatCode="&quot;R$&quot;\ #,##0.00"/>
      <alignment horizontal="center"/>
    </dxf>
    <dxf>
      <numFmt numFmtId="164" formatCode="&quot;R$&quot;\ #,##0.00"/>
    </dxf>
    <dxf>
      <numFmt numFmtId="19" formatCode="dd/mm/yyyy"/>
      <alignment horizontal="center" vertical="bottom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Medium9"/>
  <colors>
    <mruColors>
      <color rgb="FF0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DIO.xlsx]Controller!Tabela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Despesas</a:t>
            </a:r>
          </a:p>
        </c:rich>
      </c:tx>
      <c:layout>
        <c:manualLayout>
          <c:xMode val="edge"/>
          <c:yMode val="edge"/>
          <c:x val="0.46148916762116277"/>
          <c:y val="4.55446148862933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8D40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8D40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Controller!$A$5:$A$13</c:f>
              <c:strCache>
                <c:ptCount val="8"/>
                <c:pt idx="0">
                  <c:v>Alimentacao</c:v>
                </c:pt>
                <c:pt idx="1">
                  <c:v>Educacao</c:v>
                </c:pt>
                <c:pt idx="2">
                  <c:v>Internet</c:v>
                </c:pt>
                <c:pt idx="3">
                  <c:v>Lazer</c:v>
                </c:pt>
                <c:pt idx="4">
                  <c:v>Moradia</c:v>
                </c:pt>
                <c:pt idx="5">
                  <c:v>Pets</c:v>
                </c:pt>
                <c:pt idx="6">
                  <c:v>Saude</c:v>
                </c:pt>
                <c:pt idx="7">
                  <c:v>Transporte</c:v>
                </c:pt>
              </c:strCache>
            </c:strRef>
          </c:cat>
          <c:val>
            <c:numRef>
              <c:f>Controller!$B$5:$B$13</c:f>
              <c:numCache>
                <c:formatCode>"R$"\ #,##0.00</c:formatCode>
                <c:ptCount val="8"/>
                <c:pt idx="0">
                  <c:v>99862</c:v>
                </c:pt>
                <c:pt idx="1">
                  <c:v>36380</c:v>
                </c:pt>
                <c:pt idx="2">
                  <c:v>21970</c:v>
                </c:pt>
                <c:pt idx="3">
                  <c:v>52078</c:v>
                </c:pt>
                <c:pt idx="4">
                  <c:v>190735</c:v>
                </c:pt>
                <c:pt idx="5">
                  <c:v>20990</c:v>
                </c:pt>
                <c:pt idx="6">
                  <c:v>77940</c:v>
                </c:pt>
                <c:pt idx="7">
                  <c:v>63860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4-418E-8257-224B553047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1704712"/>
        <c:axId val="208148488"/>
      </c:barChart>
      <c:catAx>
        <c:axId val="98170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48488"/>
        <c:crosses val="autoZero"/>
        <c:auto val="1"/>
        <c:lblAlgn val="ctr"/>
        <c:lblOffset val="100"/>
        <c:noMultiLvlLbl val="0"/>
      </c:catAx>
      <c:valAx>
        <c:axId val="20814848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8170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DIO.xlsx]Controller!Tabela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8D40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8D40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Controller!$A$20:$A$23</c:f>
              <c:strCache>
                <c:ptCount val="3"/>
                <c:pt idx="0">
                  <c:v>Investimentos</c:v>
                </c:pt>
                <c:pt idx="1">
                  <c:v>Renda extra</c:v>
                </c:pt>
                <c:pt idx="2">
                  <c:v>Salario</c:v>
                </c:pt>
              </c:strCache>
            </c:strRef>
          </c:cat>
          <c:val>
            <c:numRef>
              <c:f>Controller!$B$20:$B$23</c:f>
              <c:numCache>
                <c:formatCode>"R$"\ #,##0.00</c:formatCode>
                <c:ptCount val="3"/>
                <c:pt idx="0">
                  <c:v>42057</c:v>
                </c:pt>
                <c:pt idx="1">
                  <c:v>154000</c:v>
                </c:pt>
                <c:pt idx="2">
                  <c:v>463000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8-414A-8A6F-B52171E48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1698056"/>
        <c:axId val="653758983"/>
      </c:barChart>
      <c:catAx>
        <c:axId val="981698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58983"/>
        <c:crosses val="autoZero"/>
        <c:auto val="1"/>
        <c:lblAlgn val="ctr"/>
        <c:lblOffset val="100"/>
        <c:noMultiLvlLbl val="0"/>
      </c:catAx>
      <c:valAx>
        <c:axId val="653758983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981698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8D40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Save!$D$2:$D$3</c:f>
              <c:strCache>
                <c:ptCount val="2"/>
                <c:pt idx="0">
                  <c:v>Total guardado </c:v>
                </c:pt>
                <c:pt idx="1">
                  <c:v>Meta para guardar</c:v>
                </c:pt>
              </c:strCache>
            </c:strRef>
          </c:cat>
          <c:val>
            <c:numRef>
              <c:f>Save!$E$2:$E$3</c:f>
              <c:numCache>
                <c:formatCode>"R$"\ #,##0.00</c:formatCode>
                <c:ptCount val="2"/>
                <c:pt idx="0">
                  <c:v>2206</c:v>
                </c:pt>
                <c:pt idx="1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D-4B9C-8279-4A2C78DB6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722375"/>
        <c:axId val="932562439"/>
      </c:barChart>
      <c:catAx>
        <c:axId val="305722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562439"/>
        <c:crosses val="autoZero"/>
        <c:auto val="1"/>
        <c:lblAlgn val="ctr"/>
        <c:lblOffset val="100"/>
        <c:noMultiLvlLbl val="0"/>
      </c:catAx>
      <c:valAx>
        <c:axId val="932562439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305722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2</xdr:row>
      <xdr:rowOff>47625</xdr:rowOff>
    </xdr:from>
    <xdr:to>
      <xdr:col>19</xdr:col>
      <xdr:colOff>428625</xdr:colOff>
      <xdr:row>15</xdr:row>
      <xdr:rowOff>133350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FDFA9018-B009-43C6-A5BB-96E7D0667D43}"/>
            </a:ext>
            <a:ext uri="{147F2762-F138-4A5C-976F-8EAC2B608ADB}">
              <a16:predDERef xmlns:a16="http://schemas.microsoft.com/office/drawing/2014/main" pred="{33C84EF9-901A-49EC-BF3A-9EA5F1DFC492}"/>
            </a:ext>
          </a:extLst>
        </xdr:cNvPr>
        <xdr:cNvSpPr/>
      </xdr:nvSpPr>
      <xdr:spPr>
        <a:xfrm>
          <a:off x="7524750" y="428625"/>
          <a:ext cx="5848350" cy="25622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142875</xdr:colOff>
      <xdr:row>19</xdr:row>
      <xdr:rowOff>9525</xdr:rowOff>
    </xdr:from>
    <xdr:to>
      <xdr:col>13</xdr:col>
      <xdr:colOff>571500</xdr:colOff>
      <xdr:row>30</xdr:row>
      <xdr:rowOff>19050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7CC80AE6-7BD4-8AC0-9450-2EF7306B2612}"/>
            </a:ext>
            <a:ext uri="{147F2762-F138-4A5C-976F-8EAC2B608ADB}">
              <a16:predDERef xmlns:a16="http://schemas.microsoft.com/office/drawing/2014/main" pred="{FDFA9018-B009-43C6-A5BB-96E7D0667D43}"/>
            </a:ext>
          </a:extLst>
        </xdr:cNvPr>
        <xdr:cNvSpPr/>
      </xdr:nvSpPr>
      <xdr:spPr>
        <a:xfrm>
          <a:off x="1362075" y="3629025"/>
          <a:ext cx="3476625" cy="2105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133350</xdr:colOff>
      <xdr:row>2</xdr:row>
      <xdr:rowOff>66675</xdr:rowOff>
    </xdr:from>
    <xdr:to>
      <xdr:col>10</xdr:col>
      <xdr:colOff>495300</xdr:colOff>
      <xdr:row>15</xdr:row>
      <xdr:rowOff>152400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4B8EAE49-02A2-C4CE-D711-5C8CFA6E1EB6}"/>
            </a:ext>
            <a:ext uri="{147F2762-F138-4A5C-976F-8EAC2B608ADB}">
              <a16:predDERef xmlns:a16="http://schemas.microsoft.com/office/drawing/2014/main" pred="{9C1587F2-835A-4CFD-9B7C-4056880D858C}"/>
            </a:ext>
          </a:extLst>
        </xdr:cNvPr>
        <xdr:cNvSpPr/>
      </xdr:nvSpPr>
      <xdr:spPr>
        <a:xfrm>
          <a:off x="1352550" y="447675"/>
          <a:ext cx="5848350" cy="25622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342900</xdr:colOff>
      <xdr:row>3</xdr:row>
      <xdr:rowOff>57150</xdr:rowOff>
    </xdr:from>
    <xdr:to>
      <xdr:col>10</xdr:col>
      <xdr:colOff>266700</xdr:colOff>
      <xdr:row>14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0B80A6-BA49-4EB7-B773-F18D12CCD519}"/>
            </a:ext>
            <a:ext uri="{147F2762-F138-4A5C-976F-8EAC2B608ADB}">
              <a16:predDERef xmlns:a16="http://schemas.microsoft.com/office/drawing/2014/main" pred="{4B8EAE49-02A2-C4CE-D711-5C8CFA6E1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304800</xdr:colOff>
      <xdr:row>19</xdr:row>
      <xdr:rowOff>161925</xdr:rowOff>
    </xdr:from>
    <xdr:to>
      <xdr:col>13</xdr:col>
      <xdr:colOff>371475</xdr:colOff>
      <xdr:row>28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1587F2-835A-4CFD-9B7C-4056880D858C}"/>
            </a:ext>
            <a:ext uri="{147F2762-F138-4A5C-976F-8EAC2B608ADB}">
              <a16:predDERef xmlns:a16="http://schemas.microsoft.com/office/drawing/2014/main" pred="{590B80A6-BA49-4EB7-B773-F18D12CCD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28575</xdr:colOff>
      <xdr:row>4</xdr:row>
      <xdr:rowOff>95250</xdr:rowOff>
    </xdr:from>
    <xdr:to>
      <xdr:col>0</xdr:col>
      <xdr:colOff>1352550</xdr:colOff>
      <xdr:row>13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">
              <a:extLst>
                <a:ext uri="{FF2B5EF4-FFF2-40B4-BE49-F238E27FC236}">
                  <a16:creationId xmlns:a16="http://schemas.microsoft.com/office/drawing/2014/main" id="{D7BA071E-0AA4-E16B-EBBF-C19B7D8FDA58}"/>
                </a:ext>
                <a:ext uri="{147F2762-F138-4A5C-976F-8EAC2B608ADB}">
                  <a16:predDERef xmlns:a16="http://schemas.microsoft.com/office/drawing/2014/main" pred="{9C1587F2-835A-4CFD-9B7C-4056880D85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857250"/>
              <a:ext cx="1323975" cy="1638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28575</xdr:colOff>
      <xdr:row>20</xdr:row>
      <xdr:rowOff>28575</xdr:rowOff>
    </xdr:from>
    <xdr:to>
      <xdr:col>0</xdr:col>
      <xdr:colOff>1343025</xdr:colOff>
      <xdr:row>28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ês 1">
              <a:extLst>
                <a:ext uri="{FF2B5EF4-FFF2-40B4-BE49-F238E27FC236}">
                  <a16:creationId xmlns:a16="http://schemas.microsoft.com/office/drawing/2014/main" id="{4386117A-F794-F88A-13C2-DCF90F9E7988}"/>
                </a:ext>
                <a:ext uri="{147F2762-F138-4A5C-976F-8EAC2B608ADB}">
                  <a16:predDERef xmlns:a16="http://schemas.microsoft.com/office/drawing/2014/main" pred="{D7BA071E-0AA4-E16B-EBBF-C19B7D8FDA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3838575"/>
              <a:ext cx="131445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11</xdr:col>
      <xdr:colOff>200025</xdr:colOff>
      <xdr:row>3</xdr:row>
      <xdr:rowOff>95250</xdr:rowOff>
    </xdr:from>
    <xdr:to>
      <xdr:col>19</xdr:col>
      <xdr:colOff>200025</xdr:colOff>
      <xdr:row>14</xdr:row>
      <xdr:rowOff>114300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F990263-0849-4A80-9975-6E578164BBB8}"/>
            </a:ext>
            <a:ext uri="{147F2762-F138-4A5C-976F-8EAC2B608ADB}">
              <a16:predDERef xmlns:a16="http://schemas.microsoft.com/office/drawing/2014/main" pred="{4386117A-F794-F88A-13C2-DCF90F9E7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0.612127314816" createdVersion="8" refreshedVersion="8" minRefreshableVersion="3" recordCount="60" xr:uid="{E3467CAD-EA15-4734-9CE9-89319171C23D}">
  <cacheSource type="worksheet">
    <worksheetSource name="Tabela2"/>
  </cacheSource>
  <cacheFields count="8">
    <cacheField name="Data" numFmtId="14">
      <sharedItems containsSemiMixedTypes="0" containsNonDate="0" containsDate="1" containsString="0" minDate="2026-01-02T00:00:00" maxDate="2027-01-01T00:00:00"/>
    </cacheField>
    <cacheField name="Mês" numFmtId="1">
      <sharedItems containsSemiMixedTypes="0" containsString="0" containsNumber="1" containsInteger="1" minValue="1" maxValue="12" count="5">
        <n v="1"/>
        <n v="5"/>
        <n v="6"/>
        <n v="8"/>
        <n v="12"/>
      </sharedItems>
    </cacheField>
    <cacheField name="Tipo" numFmtId="0">
      <sharedItems count="2">
        <s v="Despesa"/>
        <s v="Receita"/>
      </sharedItems>
    </cacheField>
    <cacheField name="Categoria" numFmtId="0">
      <sharedItems count="11">
        <s v="Alimentacao"/>
        <s v="Salario"/>
        <s v="Transporte"/>
        <s v="Lazer"/>
        <s v="Moradia"/>
        <s v="Renda extra"/>
        <s v="Educacao"/>
        <s v="Saude"/>
        <s v="Internet"/>
        <s v="Investimentos"/>
        <s v="Pets"/>
      </sharedItems>
    </cacheField>
    <cacheField name="Descrição" numFmtId="0">
      <sharedItems/>
    </cacheField>
    <cacheField name="Valor" numFmtId="164">
      <sharedItems containsSemiMixedTypes="0" containsString="0" containsNumber="1" containsInteger="1" minValue="1200" maxValue="38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955373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6-01-02T00:00:00"/>
    <x v="0"/>
    <x v="0"/>
    <x v="0"/>
    <s v="Supermercado BH"/>
    <n v="23547"/>
    <s v="Cartao de credito"/>
    <s v="Pago"/>
  </r>
  <r>
    <d v="2026-01-02T00:00:00"/>
    <x v="0"/>
    <x v="1"/>
    <x v="1"/>
    <s v="Salario CLT Janeiro"/>
    <n v="385000"/>
    <s v="Deposito"/>
    <s v="Pago"/>
  </r>
  <r>
    <d v="2026-01-03T00:00:00"/>
    <x v="0"/>
    <x v="0"/>
    <x v="2"/>
    <s v="Uber para trabalho"/>
    <n v="1890"/>
    <s v="Cartao de credito"/>
    <s v="Pago"/>
  </r>
  <r>
    <d v="2026-01-03T00:00:00"/>
    <x v="0"/>
    <x v="0"/>
    <x v="3"/>
    <s v="Assinatura Netflix"/>
    <n v="3990"/>
    <s v="Debito automatico"/>
    <s v="Pago"/>
  </r>
  <r>
    <d v="2026-01-04T00:00:00"/>
    <x v="0"/>
    <x v="0"/>
    <x v="4"/>
    <s v="Conta de luz CEMIG"/>
    <n v="14235"/>
    <s v="Pix"/>
    <s v="Pago"/>
  </r>
  <r>
    <d v="2026-05-04T00:00:00"/>
    <x v="1"/>
    <x v="0"/>
    <x v="4"/>
    <s v="Conta de agua"/>
    <n v="6480"/>
    <s v="Boleto"/>
    <s v="Pago"/>
  </r>
  <r>
    <d v="2026-01-05T00:00:00"/>
    <x v="0"/>
    <x v="0"/>
    <x v="0"/>
    <s v="Almoco restaurante"/>
    <n v="3200"/>
    <s v="Cartao de debito"/>
    <s v="Pago"/>
  </r>
  <r>
    <d v="2026-01-05T00:00:00"/>
    <x v="0"/>
    <x v="1"/>
    <x v="5"/>
    <s v="Freela desenvolvimento"/>
    <n v="45000"/>
    <s v="Pix"/>
    <s v="Pago"/>
  </r>
  <r>
    <d v="2026-01-06T00:00:00"/>
    <x v="0"/>
    <x v="0"/>
    <x v="6"/>
    <s v="Curso online DIO"/>
    <n v="7990"/>
    <s v="Cartao de credito"/>
    <s v="Pago"/>
  </r>
  <r>
    <d v="2026-01-06T00:00:00"/>
    <x v="0"/>
    <x v="0"/>
    <x v="2"/>
    <s v="Gasolina carro"/>
    <n v="21000"/>
    <s v="Cartao de debito"/>
    <s v="Pago"/>
  </r>
  <r>
    <d v="2026-01-07T00:00:00"/>
    <x v="0"/>
    <x v="0"/>
    <x v="7"/>
    <s v="Farmacia remedios"/>
    <n v="5670"/>
    <s v="Cartao de debito"/>
    <s v="Pago"/>
  </r>
  <r>
    <d v="2026-01-07T00:00:00"/>
    <x v="0"/>
    <x v="0"/>
    <x v="3"/>
    <s v="Cinema shopping"/>
    <n v="4700"/>
    <s v="Cartao de credito"/>
    <s v="Pago"/>
  </r>
  <r>
    <d v="2026-01-08T00:00:00"/>
    <x v="0"/>
    <x v="0"/>
    <x v="0"/>
    <s v="IFood jantar"/>
    <n v="5240"/>
    <s v="Cartao de credito"/>
    <s v="Pago"/>
  </r>
  <r>
    <d v="2026-01-08T00:00:00"/>
    <x v="0"/>
    <x v="0"/>
    <x v="8"/>
    <s v="Plano fibra 300Mb"/>
    <n v="10990"/>
    <s v="Debito automatico"/>
    <s v="Pago"/>
  </r>
  <r>
    <d v="2026-01-09T00:00:00"/>
    <x v="0"/>
    <x v="1"/>
    <x v="9"/>
    <s v="Dividendos acoes"/>
    <n v="6235"/>
    <s v="Credito em conta"/>
    <s v="Pago"/>
  </r>
  <r>
    <d v="2026-01-09T00:00:00"/>
    <x v="0"/>
    <x v="0"/>
    <x v="10"/>
    <s v="Racao para cachorro"/>
    <n v="8990"/>
    <s v="Cartao de debito"/>
    <s v="Pago"/>
  </r>
  <r>
    <d v="2026-01-10T00:00:00"/>
    <x v="0"/>
    <x v="0"/>
    <x v="0"/>
    <s v="Padaria cafe da manha"/>
    <n v="1580"/>
    <s v="Dinheiro"/>
    <s v="Pago"/>
  </r>
  <r>
    <d v="2026-01-10T00:00:00"/>
    <x v="0"/>
    <x v="0"/>
    <x v="3"/>
    <s v="Game Xbox promocao"/>
    <n v="12990"/>
    <s v="Cartao de credito"/>
    <s v="Pago"/>
  </r>
  <r>
    <d v="2026-01-11T00:00:00"/>
    <x v="0"/>
    <x v="0"/>
    <x v="2"/>
    <s v="Onibus intermunicipal"/>
    <n v="2450"/>
    <s v="Dinheiro"/>
    <s v="Pago"/>
  </r>
  <r>
    <d v="2026-01-11T00:00:00"/>
    <x v="0"/>
    <x v="0"/>
    <x v="4"/>
    <s v="Condominio"/>
    <n v="32000"/>
    <s v="Boleto"/>
    <s v="Pago"/>
  </r>
  <r>
    <d v="2026-01-12T00:00:00"/>
    <x v="0"/>
    <x v="1"/>
    <x v="5"/>
    <s v="Venda item Mercado Livre"/>
    <n v="12000"/>
    <s v="Pix"/>
    <s v="Pago"/>
  </r>
  <r>
    <d v="2026-01-12T00:00:00"/>
    <x v="0"/>
    <x v="0"/>
    <x v="0"/>
    <s v="Almoco trabalho"/>
    <n v="2750"/>
    <s v="Cartao de debito"/>
    <s v="Pago"/>
  </r>
  <r>
    <d v="2026-01-13T00:00:00"/>
    <x v="0"/>
    <x v="0"/>
    <x v="6"/>
    <s v="Livro programacao Python"/>
    <n v="9500"/>
    <s v="Cartao de credito"/>
    <s v="Pago"/>
  </r>
  <r>
    <d v="2026-01-13T00:00:00"/>
    <x v="0"/>
    <x v="0"/>
    <x v="7"/>
    <s v="Consulta odontologica"/>
    <n v="18000"/>
    <s v="Pix"/>
    <s v="Pago"/>
  </r>
  <r>
    <d v="2026-01-14T00:00:00"/>
    <x v="0"/>
    <x v="0"/>
    <x v="3"/>
    <s v="Assinatura Game Pass"/>
    <n v="4999"/>
    <s v="Cartao de credito"/>
    <s v="Pago"/>
  </r>
  <r>
    <d v="2026-06-14T00:00:00"/>
    <x v="2"/>
    <x v="0"/>
    <x v="2"/>
    <s v="Uber retorno casa"/>
    <n v="2230"/>
    <s v="Cartao de credito"/>
    <s v="Pago"/>
  </r>
  <r>
    <d v="2026-01-15T00:00:00"/>
    <x v="0"/>
    <x v="1"/>
    <x v="1"/>
    <s v="Bico manutencao eletrica"/>
    <n v="28000"/>
    <s v="Pix"/>
    <s v="Pago"/>
  </r>
  <r>
    <d v="2026-01-15T00:00:00"/>
    <x v="0"/>
    <x v="0"/>
    <x v="0"/>
    <s v="Supermercado mensal"/>
    <n v="41275"/>
    <s v="Cartao de debito"/>
    <s v="Pago"/>
  </r>
  <r>
    <d v="2026-01-16T00:00:00"/>
    <x v="0"/>
    <x v="0"/>
    <x v="4"/>
    <s v="Aluguel apartamento"/>
    <n v="120000"/>
    <s v="Pix"/>
    <s v="Pago"/>
  </r>
  <r>
    <d v="2026-01-16T00:00:00"/>
    <x v="0"/>
    <x v="0"/>
    <x v="8"/>
    <s v="Renovacao dominio"/>
    <n v="2990"/>
    <s v="Cartao de credito"/>
    <s v="Pago"/>
  </r>
  <r>
    <d v="2026-08-17T00:00:00"/>
    <x v="3"/>
    <x v="0"/>
    <x v="2"/>
    <s v="Abastecimento moto"/>
    <n v="7500"/>
    <s v="Cartao de debito"/>
    <s v="Pago"/>
  </r>
  <r>
    <d v="2026-01-17T00:00:00"/>
    <x v="0"/>
    <x v="0"/>
    <x v="3"/>
    <s v="Lanchonete amigos"/>
    <n v="6340"/>
    <s v="Cartao de credito"/>
    <s v="Pago"/>
  </r>
  <r>
    <d v="2026-01-18T00:00:00"/>
    <x v="0"/>
    <x v="1"/>
    <x v="9"/>
    <s v="Juros poupanca"/>
    <n v="1822"/>
    <s v="Credito em conta"/>
    <s v="Pago"/>
  </r>
  <r>
    <d v="2026-01-18T00:00:00"/>
    <x v="0"/>
    <x v="0"/>
    <x v="7"/>
    <s v="Plano de saude"/>
    <n v="28900"/>
    <s v="Debito automatico"/>
    <s v="Pago"/>
  </r>
  <r>
    <d v="2026-01-19T00:00:00"/>
    <x v="0"/>
    <x v="0"/>
    <x v="0"/>
    <s v="Self service almoco"/>
    <n v="2890"/>
    <s v="Cartao de debito"/>
    <s v="Pago"/>
  </r>
  <r>
    <d v="2026-01-19T00:00:00"/>
    <x v="0"/>
    <x v="0"/>
    <x v="6"/>
    <s v="Assinatura plataforma cursos"/>
    <n v="5990"/>
    <s v="Cartao de credito"/>
    <s v="Pago"/>
  </r>
  <r>
    <d v="2026-01-20T00:00:00"/>
    <x v="0"/>
    <x v="0"/>
    <x v="2"/>
    <s v="Estacionamento centro"/>
    <n v="1200"/>
    <s v="Dinheiro"/>
    <s v="Pago"/>
  </r>
  <r>
    <d v="2026-01-20T00:00:00"/>
    <x v="0"/>
    <x v="0"/>
    <x v="3"/>
    <s v="Assinatura Spotify"/>
    <n v="2190"/>
    <s v="Cartao de credito"/>
    <s v="Pago"/>
  </r>
  <r>
    <d v="2026-01-21T00:00:00"/>
    <x v="0"/>
    <x v="1"/>
    <x v="5"/>
    <s v="Aula particular Python"/>
    <n v="15000"/>
    <s v="Pix"/>
    <s v="Pago"/>
  </r>
  <r>
    <d v="2026-01-21T00:00:00"/>
    <x v="0"/>
    <x v="0"/>
    <x v="4"/>
    <s v="Manutencao eletrica"/>
    <n v="9500"/>
    <s v="Pix"/>
    <s v="Pago"/>
  </r>
  <r>
    <d v="2026-01-22T00:00:00"/>
    <x v="0"/>
    <x v="0"/>
    <x v="0"/>
    <s v="Compras feira livre"/>
    <n v="3460"/>
    <s v="Dinheiro"/>
    <s v="Pago"/>
  </r>
  <r>
    <d v="2026-01-22T00:00:00"/>
    <x v="0"/>
    <x v="0"/>
    <x v="2"/>
    <s v="Troca de oleo"/>
    <n v="13500"/>
    <s v="Cartao de debito"/>
    <s v="Pago"/>
  </r>
  <r>
    <d v="2026-01-23T00:00:00"/>
    <x v="0"/>
    <x v="0"/>
    <x v="10"/>
    <s v="Veterinario vacina"/>
    <n v="12000"/>
    <s v="Pix"/>
    <s v="Pago"/>
  </r>
  <r>
    <d v="2026-01-23T00:00:00"/>
    <x v="0"/>
    <x v="0"/>
    <x v="3"/>
    <s v="Bar com amigos"/>
    <n v="8870"/>
    <s v="Cartao de credito"/>
    <s v="Pago"/>
  </r>
  <r>
    <d v="2026-01-24T00:00:00"/>
    <x v="0"/>
    <x v="0"/>
    <x v="7"/>
    <s v="Exames laboratoriais"/>
    <n v="21050"/>
    <s v="Boleto"/>
    <s v="Pago"/>
  </r>
  <r>
    <d v="2026-01-24T00:00:00"/>
    <x v="0"/>
    <x v="1"/>
    <x v="9"/>
    <s v="Venda de acao"/>
    <n v="34000"/>
    <s v="Credito em conta"/>
    <s v="Pago"/>
  </r>
  <r>
    <d v="2026-01-25T00:00:00"/>
    <x v="0"/>
    <x v="0"/>
    <x v="0"/>
    <s v="Pizza delivery"/>
    <n v="6190"/>
    <s v="Cartao de credito"/>
    <s v="Pago"/>
  </r>
  <r>
    <d v="2026-01-25T00:00:00"/>
    <x v="0"/>
    <x v="0"/>
    <x v="8"/>
    <s v="Recarga celular"/>
    <n v="3000"/>
    <s v="Pix"/>
    <s v="Pago"/>
  </r>
  <r>
    <d v="2026-01-26T00:00:00"/>
    <x v="0"/>
    <x v="0"/>
    <x v="6"/>
    <s v="Curso de dados online"/>
    <n v="12900"/>
    <s v="Cartao de credito"/>
    <s v="Planejado"/>
  </r>
  <r>
    <d v="2026-01-26T00:00:00"/>
    <x v="0"/>
    <x v="0"/>
    <x v="2"/>
    <s v="Uber aeroporto"/>
    <n v="4820"/>
    <s v="Cartao de credito"/>
    <s v="Planejado"/>
  </r>
  <r>
    <d v="2026-01-27T00:00:00"/>
    <x v="0"/>
    <x v="1"/>
    <x v="5"/>
    <s v="Projeto freelancer site"/>
    <n v="60000"/>
    <s v="Pix"/>
    <s v="Previsto"/>
  </r>
  <r>
    <d v="2026-01-27T00:00:00"/>
    <x v="0"/>
    <x v="0"/>
    <x v="4"/>
    <s v="Reparo hidraulico"/>
    <n v="15000"/>
    <s v="Pix"/>
    <s v="Planejado"/>
  </r>
  <r>
    <d v="2026-01-28T00:00:00"/>
    <x v="0"/>
    <x v="0"/>
    <x v="0"/>
    <s v="Mercado reposicao"/>
    <n v="9730"/>
    <s v="Cartao de debito"/>
    <s v="Planejado"/>
  </r>
  <r>
    <d v="2026-01-28T00:00:00"/>
    <x v="0"/>
    <x v="0"/>
    <x v="3"/>
    <s v="Compra jogo Steam"/>
    <n v="7999"/>
    <s v="Cartao de credito"/>
    <s v="Planejado"/>
  </r>
  <r>
    <d v="2026-01-29T00:00:00"/>
    <x v="0"/>
    <x v="0"/>
    <x v="7"/>
    <s v="Farmacia itens basicos"/>
    <n v="4320"/>
    <s v="Cartao de debito"/>
    <s v="Planejado"/>
  </r>
  <r>
    <d v="2026-01-29T00:00:00"/>
    <x v="0"/>
    <x v="0"/>
    <x v="2"/>
    <s v="Gasolina viagem"/>
    <n v="19000"/>
    <s v="Cartao de debito"/>
    <s v="Planejado"/>
  </r>
  <r>
    <d v="2026-01-30T00:00:00"/>
    <x v="0"/>
    <x v="1"/>
    <x v="1"/>
    <s v="Salario CLT Fevereiro adiantamento"/>
    <n v="50000"/>
    <s v="Deposito"/>
    <s v="Previsto"/>
  </r>
  <r>
    <d v="2026-01-30T00:00:00"/>
    <x v="0"/>
    <x v="0"/>
    <x v="8"/>
    <s v="Renovacao antivirus"/>
    <n v="4990"/>
    <s v="Cartao de credito"/>
    <s v="Planejado"/>
  </r>
  <r>
    <d v="2026-12-31T00:00:00"/>
    <x v="4"/>
    <x v="0"/>
    <x v="3"/>
    <s v="Passeio em familia"/>
    <n v="12000"/>
    <s v="Dinheiro"/>
    <s v="Planejado"/>
  </r>
  <r>
    <d v="2026-01-31T00:00:00"/>
    <x v="0"/>
    <x v="1"/>
    <x v="5"/>
    <s v="Venda acessorio PC"/>
    <n v="22000"/>
    <s v="Pix"/>
    <s v="Previs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E6359-1EE8-4B07-BA30-2F89A09C05A9}" name="Tabela dinâmica5" cacheId="8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19:B23" firstHeaderRow="1" firstDataRow="1" firstDataCol="1" rowPageCount="1" colPageCount="1"/>
  <pivotFields count="8">
    <pivotField compact="0" numFmtId="14" outline="0" showAll="0"/>
    <pivotField compact="0" numFmtId="1" outline="0" showAll="0">
      <items count="6">
        <item x="0"/>
        <item h="1" x="1"/>
        <item h="1" x="2"/>
        <item h="1" x="3"/>
        <item h="1" x="4"/>
        <item t="default"/>
      </items>
    </pivotField>
    <pivotField axis="axisPage" compact="0" outline="0" showAll="0">
      <items count="3">
        <item h="1" x="0"/>
        <item x="1"/>
        <item t="default"/>
      </items>
    </pivotField>
    <pivotField axis="axisRow" compact="0" outline="0" showAll="0">
      <items count="12">
        <item x="0"/>
        <item x="6"/>
        <item x="8"/>
        <item x="9"/>
        <item x="3"/>
        <item x="4"/>
        <item x="10"/>
        <item x="5"/>
        <item x="1"/>
        <item x="7"/>
        <item x="2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3"/>
  </rowFields>
  <rowItems count="4">
    <i>
      <x v="3"/>
    </i>
    <i>
      <x v="7"/>
    </i>
    <i>
      <x v="8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4D876-1C9E-4A3C-80FE-49991524E9EF}" name="Tabela dinâmica1" cacheId="8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2">
  <location ref="A4:B13" firstHeaderRow="1" firstDataRow="1" firstDataCol="1" rowPageCount="1" colPageCount="1"/>
  <pivotFields count="8">
    <pivotField compact="0" numFmtId="14" outline="0" showAll="0"/>
    <pivotField compact="0" numFmtId="1" outline="0" showAll="0">
      <items count="6">
        <item x="0"/>
        <item h="1" x="1"/>
        <item h="1" x="2"/>
        <item h="1" x="3"/>
        <item h="1" x="4"/>
        <item t="default"/>
      </items>
    </pivotField>
    <pivotField axis="axisPage" compact="0" outline="0" showAll="0">
      <items count="3">
        <item x="0"/>
        <item h="1" x="1"/>
        <item t="default"/>
      </items>
    </pivotField>
    <pivotField axis="axisRow" compact="0" outline="0" showAll="0">
      <items count="12">
        <item x="0"/>
        <item x="6"/>
        <item x="8"/>
        <item x="9"/>
        <item x="3"/>
        <item x="4"/>
        <item x="10"/>
        <item x="5"/>
        <item x="1"/>
        <item x="7"/>
        <item x="2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</pivotFields>
  <rowFields count="1">
    <field x="3"/>
  </rowFields>
  <rowItems count="9">
    <i>
      <x/>
    </i>
    <i>
      <x v="1"/>
    </i>
    <i>
      <x v="2"/>
    </i>
    <i>
      <x v="4"/>
    </i>
    <i>
      <x v="5"/>
    </i>
    <i>
      <x v="6"/>
    </i>
    <i>
      <x v="9"/>
    </i>
    <i>
      <x v="10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164"/>
  </dataFields>
  <chartFormats count="7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B34E9429-423D-4ABD-BBED-9213ECAD9632}" sourceName="Mês">
  <pivotTables>
    <pivotTable tabId="2" name="Tabela dinâmica1"/>
    <pivotTable tabId="2" name="Tabela dinâmica5"/>
  </pivotTables>
  <data>
    <tabular pivotCacheId="195537328">
      <items count="5">
        <i x="0" s="1"/>
        <i x="1"/>
        <i x="2"/>
        <i x="3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903A441D-36C1-42E4-A365-68EEB91F6214}" cache="SegmentaçãodeDados_Mês" caption="Mês" style="SlicerStyleDark6" rowHeight="228600"/>
  <slicer name="Mês 1" xr10:uid="{7A516DCA-25C7-48A9-A08B-8E2DC6965F37}" cache="SegmentaçãodeDados_Mês" caption="Mês" style="SlicerStyleDark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241899-21F8-4256-B838-DDCE46F00953}" name="Tabela2" displayName="Tabela2" ref="A1:H61" totalsRowShown="0" dataDxfId="11">
  <autoFilter ref="A1:H61" xr:uid="{B8241899-21F8-4256-B838-DDCE46F00953}"/>
  <tableColumns count="8">
    <tableColumn id="1" xr3:uid="{3CDD5D73-A700-40C8-A55E-FF63B9DE7A89}" name="Data"/>
    <tableColumn id="8" xr3:uid="{2C0AE158-F29D-4604-936B-7E59F5587355}" name="Mês" dataDxfId="10">
      <calculatedColumnFormula>MONTH(Tabela2[[#This Row],[Data]])</calculatedColumnFormula>
    </tableColumn>
    <tableColumn id="2" xr3:uid="{E4AE0DA7-89A2-4CA3-A9EF-62F3AA3A332D}" name="Tipo" dataDxfId="9"/>
    <tableColumn id="3" xr3:uid="{D0BA437F-1C2E-4FA1-AA58-A8413DF24AE1}" name="Categoria" dataDxfId="8"/>
    <tableColumn id="4" xr3:uid="{F1DBA6F7-20CB-4BB1-9786-C7FBA28C3B50}" name="Descrição" dataDxfId="7"/>
    <tableColumn id="5" xr3:uid="{009AFAF6-6B9E-4872-82D3-8F68564B8DAF}" name="Valor" dataDxfId="6"/>
    <tableColumn id="6" xr3:uid="{2A2152C7-2A40-4AF1-A800-4BEE6B27E897}" name="Operação bancária" dataDxfId="5"/>
    <tableColumn id="7" xr3:uid="{2CCCB597-8CC3-4C6F-91B8-353FC51FC0CB}" name="Status" dataDxfId="4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B07E5-5A48-4F44-BDFE-62B466D67197}" name="Tabela1" displayName="Tabela1" ref="A1:B17" totalsRowCount="1">
  <autoFilter ref="A1:B16" xr:uid="{7A1B07E5-5A48-4F44-BDFE-62B466D67197}"/>
  <tableColumns count="2">
    <tableColumn id="1" xr3:uid="{0364EC5B-D77E-4ABE-A025-C65800C351ED}" name="Data de lançamento" dataDxfId="2" totalsRowDxfId="3"/>
    <tableColumn id="2" xr3:uid="{3908538D-183C-4B4C-8F8F-3CBB7C8205B6}" name="Valor guardado" dataDxfId="0" totalsRowDxfId="1">
      <calculatedColumnFormula>RANDBETWEEN(20,250)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workbookViewId="0">
      <selection activeCell="C53" sqref="C53"/>
    </sheetView>
  </sheetViews>
  <sheetFormatPr defaultRowHeight="15"/>
  <cols>
    <col min="1" max="1" width="11.140625" bestFit="1" customWidth="1"/>
    <col min="2" max="2" width="11.140625" style="8" customWidth="1"/>
    <col min="3" max="3" width="10.42578125" bestFit="1" customWidth="1"/>
    <col min="4" max="5" width="11.7109375" bestFit="1" customWidth="1"/>
    <col min="6" max="6" width="13.28515625" bestFit="1" customWidth="1"/>
    <col min="7" max="7" width="19.85546875" bestFit="1" customWidth="1"/>
    <col min="8" max="8" width="11.7109375" bestFit="1" customWidth="1"/>
    <col min="9" max="9" width="10.42578125" bestFit="1" customWidth="1"/>
    <col min="11" max="11" width="10.42578125" bestFit="1" customWidth="1"/>
    <col min="12" max="12" width="19.85546875" bestFit="1" customWidth="1"/>
    <col min="13" max="13" width="10.42578125" bestFit="1" customWidth="1"/>
  </cols>
  <sheetData>
    <row r="1" spans="1:8">
      <c r="A1" t="s">
        <v>0</v>
      </c>
      <c r="B1" s="8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>
        <v>46024</v>
      </c>
      <c r="B2" s="9">
        <f>MONTH(Tabela2[[#This Row],[Data]])</f>
        <v>1</v>
      </c>
      <c r="C2" s="1" t="s">
        <v>8</v>
      </c>
      <c r="D2" s="1" t="s">
        <v>9</v>
      </c>
      <c r="E2" s="1" t="s">
        <v>10</v>
      </c>
      <c r="F2" s="2">
        <v>23547</v>
      </c>
      <c r="G2" s="1" t="s">
        <v>11</v>
      </c>
      <c r="H2" s="1" t="s">
        <v>12</v>
      </c>
    </row>
    <row r="3" spans="1:8">
      <c r="A3" s="3">
        <v>46024</v>
      </c>
      <c r="B3" s="9">
        <f>MONTH(Tabela2[[#This Row],[Data]])</f>
        <v>1</v>
      </c>
      <c r="C3" s="1" t="s">
        <v>13</v>
      </c>
      <c r="D3" s="1" t="s">
        <v>14</v>
      </c>
      <c r="E3" s="1" t="s">
        <v>15</v>
      </c>
      <c r="F3" s="2">
        <v>385000</v>
      </c>
      <c r="G3" s="1" t="s">
        <v>16</v>
      </c>
      <c r="H3" s="1" t="s">
        <v>12</v>
      </c>
    </row>
    <row r="4" spans="1:8">
      <c r="A4" s="3">
        <v>46025</v>
      </c>
      <c r="B4" s="9">
        <f>MONTH(Tabela2[[#This Row],[Data]])</f>
        <v>1</v>
      </c>
      <c r="C4" s="1" t="s">
        <v>8</v>
      </c>
      <c r="D4" s="1" t="s">
        <v>17</v>
      </c>
      <c r="E4" s="1" t="s">
        <v>18</v>
      </c>
      <c r="F4" s="2">
        <v>1890</v>
      </c>
      <c r="G4" s="1" t="s">
        <v>11</v>
      </c>
      <c r="H4" s="1" t="s">
        <v>12</v>
      </c>
    </row>
    <row r="5" spans="1:8">
      <c r="A5" s="3">
        <v>46025</v>
      </c>
      <c r="B5" s="9">
        <f>MONTH(Tabela2[[#This Row],[Data]])</f>
        <v>1</v>
      </c>
      <c r="C5" s="1" t="s">
        <v>8</v>
      </c>
      <c r="D5" s="1" t="s">
        <v>19</v>
      </c>
      <c r="E5" s="1" t="s">
        <v>20</v>
      </c>
      <c r="F5" s="2">
        <v>3990</v>
      </c>
      <c r="G5" s="1" t="s">
        <v>21</v>
      </c>
      <c r="H5" s="1" t="s">
        <v>12</v>
      </c>
    </row>
    <row r="6" spans="1:8">
      <c r="A6" s="3">
        <v>46026</v>
      </c>
      <c r="B6" s="9">
        <f>MONTH(Tabela2[[#This Row],[Data]])</f>
        <v>1</v>
      </c>
      <c r="C6" s="1" t="s">
        <v>8</v>
      </c>
      <c r="D6" s="1" t="s">
        <v>22</v>
      </c>
      <c r="E6" s="1" t="s">
        <v>23</v>
      </c>
      <c r="F6" s="2">
        <v>14235</v>
      </c>
      <c r="G6" s="1" t="s">
        <v>24</v>
      </c>
      <c r="H6" s="1" t="s">
        <v>12</v>
      </c>
    </row>
    <row r="7" spans="1:8">
      <c r="A7" s="3">
        <v>46146</v>
      </c>
      <c r="B7" s="9">
        <f>MONTH(Tabela2[[#This Row],[Data]])</f>
        <v>5</v>
      </c>
      <c r="C7" s="1" t="s">
        <v>8</v>
      </c>
      <c r="D7" s="1" t="s">
        <v>22</v>
      </c>
      <c r="E7" s="1" t="s">
        <v>25</v>
      </c>
      <c r="F7" s="2">
        <v>6480</v>
      </c>
      <c r="G7" s="1" t="s">
        <v>26</v>
      </c>
      <c r="H7" s="1" t="s">
        <v>12</v>
      </c>
    </row>
    <row r="8" spans="1:8">
      <c r="A8" s="3">
        <v>46027</v>
      </c>
      <c r="B8" s="9">
        <f>MONTH(Tabela2[[#This Row],[Data]])</f>
        <v>1</v>
      </c>
      <c r="C8" s="1" t="s">
        <v>8</v>
      </c>
      <c r="D8" s="1" t="s">
        <v>9</v>
      </c>
      <c r="E8" s="1" t="s">
        <v>27</v>
      </c>
      <c r="F8" s="2">
        <v>3200</v>
      </c>
      <c r="G8" s="1" t="s">
        <v>28</v>
      </c>
      <c r="H8" s="1" t="s">
        <v>12</v>
      </c>
    </row>
    <row r="9" spans="1:8">
      <c r="A9" s="3">
        <v>46027</v>
      </c>
      <c r="B9" s="9">
        <f>MONTH(Tabela2[[#This Row],[Data]])</f>
        <v>1</v>
      </c>
      <c r="C9" s="1" t="s">
        <v>13</v>
      </c>
      <c r="D9" s="1" t="s">
        <v>29</v>
      </c>
      <c r="E9" s="1" t="s">
        <v>30</v>
      </c>
      <c r="F9" s="2">
        <v>45000</v>
      </c>
      <c r="G9" s="1" t="s">
        <v>24</v>
      </c>
      <c r="H9" s="1" t="s">
        <v>12</v>
      </c>
    </row>
    <row r="10" spans="1:8">
      <c r="A10" s="3">
        <v>46028</v>
      </c>
      <c r="B10" s="9">
        <f>MONTH(Tabela2[[#This Row],[Data]])</f>
        <v>1</v>
      </c>
      <c r="C10" s="1" t="s">
        <v>8</v>
      </c>
      <c r="D10" s="1" t="s">
        <v>31</v>
      </c>
      <c r="E10" s="1" t="s">
        <v>32</v>
      </c>
      <c r="F10" s="2">
        <v>7990</v>
      </c>
      <c r="G10" s="1" t="s">
        <v>11</v>
      </c>
      <c r="H10" s="1" t="s">
        <v>12</v>
      </c>
    </row>
    <row r="11" spans="1:8">
      <c r="A11" s="3">
        <v>46028</v>
      </c>
      <c r="B11" s="9">
        <f>MONTH(Tabela2[[#This Row],[Data]])</f>
        <v>1</v>
      </c>
      <c r="C11" s="1" t="s">
        <v>8</v>
      </c>
      <c r="D11" s="1" t="s">
        <v>17</v>
      </c>
      <c r="E11" s="1" t="s">
        <v>33</v>
      </c>
      <c r="F11" s="2">
        <v>21000</v>
      </c>
      <c r="G11" s="1" t="s">
        <v>28</v>
      </c>
      <c r="H11" s="1" t="s">
        <v>12</v>
      </c>
    </row>
    <row r="12" spans="1:8">
      <c r="A12" s="3">
        <v>46029</v>
      </c>
      <c r="B12" s="9">
        <f>MONTH(Tabela2[[#This Row],[Data]])</f>
        <v>1</v>
      </c>
      <c r="C12" s="1" t="s">
        <v>8</v>
      </c>
      <c r="D12" s="1" t="s">
        <v>34</v>
      </c>
      <c r="E12" s="1" t="s">
        <v>35</v>
      </c>
      <c r="F12" s="2">
        <v>5670</v>
      </c>
      <c r="G12" s="1" t="s">
        <v>28</v>
      </c>
      <c r="H12" s="1" t="s">
        <v>12</v>
      </c>
    </row>
    <row r="13" spans="1:8">
      <c r="A13" s="3">
        <v>46029</v>
      </c>
      <c r="B13" s="9">
        <f>MONTH(Tabela2[[#This Row],[Data]])</f>
        <v>1</v>
      </c>
      <c r="C13" s="1" t="s">
        <v>8</v>
      </c>
      <c r="D13" s="1" t="s">
        <v>19</v>
      </c>
      <c r="E13" s="1" t="s">
        <v>36</v>
      </c>
      <c r="F13" s="2">
        <v>4700</v>
      </c>
      <c r="G13" s="1" t="s">
        <v>11</v>
      </c>
      <c r="H13" s="1" t="s">
        <v>12</v>
      </c>
    </row>
    <row r="14" spans="1:8">
      <c r="A14" s="3">
        <v>46030</v>
      </c>
      <c r="B14" s="9">
        <f>MONTH(Tabela2[[#This Row],[Data]])</f>
        <v>1</v>
      </c>
      <c r="C14" s="1" t="s">
        <v>8</v>
      </c>
      <c r="D14" s="1" t="s">
        <v>9</v>
      </c>
      <c r="E14" s="1" t="s">
        <v>37</v>
      </c>
      <c r="F14" s="2">
        <v>5240</v>
      </c>
      <c r="G14" s="1" t="s">
        <v>11</v>
      </c>
      <c r="H14" s="1" t="s">
        <v>12</v>
      </c>
    </row>
    <row r="15" spans="1:8">
      <c r="A15" s="3">
        <v>46030</v>
      </c>
      <c r="B15" s="9">
        <f>MONTH(Tabela2[[#This Row],[Data]])</f>
        <v>1</v>
      </c>
      <c r="C15" s="1" t="s">
        <v>8</v>
      </c>
      <c r="D15" s="1" t="s">
        <v>38</v>
      </c>
      <c r="E15" s="1" t="s">
        <v>39</v>
      </c>
      <c r="F15" s="2">
        <v>10990</v>
      </c>
      <c r="G15" s="1" t="s">
        <v>21</v>
      </c>
      <c r="H15" s="1" t="s">
        <v>12</v>
      </c>
    </row>
    <row r="16" spans="1:8">
      <c r="A16" s="3">
        <v>46031</v>
      </c>
      <c r="B16" s="9">
        <f>MONTH(Tabela2[[#This Row],[Data]])</f>
        <v>1</v>
      </c>
      <c r="C16" s="1" t="s">
        <v>13</v>
      </c>
      <c r="D16" s="1" t="s">
        <v>40</v>
      </c>
      <c r="E16" s="1" t="s">
        <v>41</v>
      </c>
      <c r="F16" s="2">
        <v>6235</v>
      </c>
      <c r="G16" s="1" t="s">
        <v>42</v>
      </c>
      <c r="H16" s="1" t="s">
        <v>12</v>
      </c>
    </row>
    <row r="17" spans="1:8">
      <c r="A17" s="3">
        <v>46031</v>
      </c>
      <c r="B17" s="9">
        <f>MONTH(Tabela2[[#This Row],[Data]])</f>
        <v>1</v>
      </c>
      <c r="C17" s="1" t="s">
        <v>8</v>
      </c>
      <c r="D17" s="1" t="s">
        <v>43</v>
      </c>
      <c r="E17" s="1" t="s">
        <v>44</v>
      </c>
      <c r="F17" s="2">
        <v>8990</v>
      </c>
      <c r="G17" s="1" t="s">
        <v>28</v>
      </c>
      <c r="H17" s="1" t="s">
        <v>12</v>
      </c>
    </row>
    <row r="18" spans="1:8">
      <c r="A18" s="3">
        <v>46032</v>
      </c>
      <c r="B18" s="9">
        <f>MONTH(Tabela2[[#This Row],[Data]])</f>
        <v>1</v>
      </c>
      <c r="C18" s="1" t="s">
        <v>8</v>
      </c>
      <c r="D18" s="1" t="s">
        <v>9</v>
      </c>
      <c r="E18" s="1" t="s">
        <v>45</v>
      </c>
      <c r="F18" s="2">
        <v>1580</v>
      </c>
      <c r="G18" s="1" t="s">
        <v>46</v>
      </c>
      <c r="H18" s="1" t="s">
        <v>12</v>
      </c>
    </row>
    <row r="19" spans="1:8">
      <c r="A19" s="3">
        <v>46032</v>
      </c>
      <c r="B19" s="9">
        <f>MONTH(Tabela2[[#This Row],[Data]])</f>
        <v>1</v>
      </c>
      <c r="C19" s="1" t="s">
        <v>8</v>
      </c>
      <c r="D19" s="1" t="s">
        <v>19</v>
      </c>
      <c r="E19" s="1" t="s">
        <v>47</v>
      </c>
      <c r="F19" s="2">
        <v>12990</v>
      </c>
      <c r="G19" s="1" t="s">
        <v>11</v>
      </c>
      <c r="H19" s="1" t="s">
        <v>12</v>
      </c>
    </row>
    <row r="20" spans="1:8">
      <c r="A20" s="3">
        <v>46033</v>
      </c>
      <c r="B20" s="9">
        <f>MONTH(Tabela2[[#This Row],[Data]])</f>
        <v>1</v>
      </c>
      <c r="C20" s="1" t="s">
        <v>8</v>
      </c>
      <c r="D20" s="1" t="s">
        <v>17</v>
      </c>
      <c r="E20" s="1" t="s">
        <v>48</v>
      </c>
      <c r="F20" s="2">
        <v>2450</v>
      </c>
      <c r="G20" s="1" t="s">
        <v>46</v>
      </c>
      <c r="H20" s="1" t="s">
        <v>12</v>
      </c>
    </row>
    <row r="21" spans="1:8">
      <c r="A21" s="3">
        <v>46033</v>
      </c>
      <c r="B21" s="9">
        <f>MONTH(Tabela2[[#This Row],[Data]])</f>
        <v>1</v>
      </c>
      <c r="C21" s="1" t="s">
        <v>8</v>
      </c>
      <c r="D21" s="1" t="s">
        <v>22</v>
      </c>
      <c r="E21" s="1" t="s">
        <v>49</v>
      </c>
      <c r="F21" s="2">
        <v>32000</v>
      </c>
      <c r="G21" s="1" t="s">
        <v>26</v>
      </c>
      <c r="H21" s="1" t="s">
        <v>12</v>
      </c>
    </row>
    <row r="22" spans="1:8">
      <c r="A22" s="3">
        <v>46034</v>
      </c>
      <c r="B22" s="9">
        <f>MONTH(Tabela2[[#This Row],[Data]])</f>
        <v>1</v>
      </c>
      <c r="C22" s="1" t="s">
        <v>13</v>
      </c>
      <c r="D22" s="1" t="s">
        <v>29</v>
      </c>
      <c r="E22" s="1" t="s">
        <v>50</v>
      </c>
      <c r="F22" s="2">
        <v>12000</v>
      </c>
      <c r="G22" s="1" t="s">
        <v>24</v>
      </c>
      <c r="H22" s="1" t="s">
        <v>12</v>
      </c>
    </row>
    <row r="23" spans="1:8">
      <c r="A23" s="3">
        <v>46034</v>
      </c>
      <c r="B23" s="9">
        <f>MONTH(Tabela2[[#This Row],[Data]])</f>
        <v>1</v>
      </c>
      <c r="C23" s="1" t="s">
        <v>8</v>
      </c>
      <c r="D23" s="1" t="s">
        <v>9</v>
      </c>
      <c r="E23" s="1" t="s">
        <v>51</v>
      </c>
      <c r="F23" s="2">
        <v>2750</v>
      </c>
      <c r="G23" s="1" t="s">
        <v>28</v>
      </c>
      <c r="H23" s="1" t="s">
        <v>12</v>
      </c>
    </row>
    <row r="24" spans="1:8">
      <c r="A24" s="3">
        <v>46035</v>
      </c>
      <c r="B24" s="9">
        <f>MONTH(Tabela2[[#This Row],[Data]])</f>
        <v>1</v>
      </c>
      <c r="C24" s="1" t="s">
        <v>8</v>
      </c>
      <c r="D24" s="1" t="s">
        <v>31</v>
      </c>
      <c r="E24" s="1" t="s">
        <v>52</v>
      </c>
      <c r="F24" s="2">
        <v>9500</v>
      </c>
      <c r="G24" s="1" t="s">
        <v>11</v>
      </c>
      <c r="H24" s="1" t="s">
        <v>12</v>
      </c>
    </row>
    <row r="25" spans="1:8">
      <c r="A25" s="3">
        <v>46035</v>
      </c>
      <c r="B25" s="9">
        <f>MONTH(Tabela2[[#This Row],[Data]])</f>
        <v>1</v>
      </c>
      <c r="C25" s="1" t="s">
        <v>8</v>
      </c>
      <c r="D25" s="1" t="s">
        <v>34</v>
      </c>
      <c r="E25" s="1" t="s">
        <v>53</v>
      </c>
      <c r="F25" s="2">
        <v>18000</v>
      </c>
      <c r="G25" s="1" t="s">
        <v>24</v>
      </c>
      <c r="H25" s="1" t="s">
        <v>12</v>
      </c>
    </row>
    <row r="26" spans="1:8">
      <c r="A26" s="3">
        <v>46036</v>
      </c>
      <c r="B26" s="9">
        <f>MONTH(Tabela2[[#This Row],[Data]])</f>
        <v>1</v>
      </c>
      <c r="C26" s="1" t="s">
        <v>8</v>
      </c>
      <c r="D26" s="1" t="s">
        <v>19</v>
      </c>
      <c r="E26" s="1" t="s">
        <v>54</v>
      </c>
      <c r="F26" s="2">
        <v>4999</v>
      </c>
      <c r="G26" s="1" t="s">
        <v>11</v>
      </c>
      <c r="H26" s="1" t="s">
        <v>12</v>
      </c>
    </row>
    <row r="27" spans="1:8">
      <c r="A27" s="3">
        <v>46187</v>
      </c>
      <c r="B27" s="9">
        <f>MONTH(Tabela2[[#This Row],[Data]])</f>
        <v>6</v>
      </c>
      <c r="C27" s="1" t="s">
        <v>8</v>
      </c>
      <c r="D27" s="1" t="s">
        <v>17</v>
      </c>
      <c r="E27" s="1" t="s">
        <v>55</v>
      </c>
      <c r="F27" s="2">
        <v>2230</v>
      </c>
      <c r="G27" s="1" t="s">
        <v>11</v>
      </c>
      <c r="H27" s="1" t="s">
        <v>12</v>
      </c>
    </row>
    <row r="28" spans="1:8">
      <c r="A28" s="3">
        <v>46037</v>
      </c>
      <c r="B28" s="9">
        <f>MONTH(Tabela2[[#This Row],[Data]])</f>
        <v>1</v>
      </c>
      <c r="C28" s="1" t="s">
        <v>13</v>
      </c>
      <c r="D28" s="1" t="s">
        <v>14</v>
      </c>
      <c r="E28" s="1" t="s">
        <v>56</v>
      </c>
      <c r="F28" s="2">
        <v>28000</v>
      </c>
      <c r="G28" s="1" t="s">
        <v>24</v>
      </c>
      <c r="H28" s="1" t="s">
        <v>12</v>
      </c>
    </row>
    <row r="29" spans="1:8">
      <c r="A29" s="3">
        <v>46037</v>
      </c>
      <c r="B29" s="9">
        <f>MONTH(Tabela2[[#This Row],[Data]])</f>
        <v>1</v>
      </c>
      <c r="C29" s="1" t="s">
        <v>8</v>
      </c>
      <c r="D29" s="1" t="s">
        <v>9</v>
      </c>
      <c r="E29" s="1" t="s">
        <v>57</v>
      </c>
      <c r="F29" s="2">
        <v>41275</v>
      </c>
      <c r="G29" s="1" t="s">
        <v>28</v>
      </c>
      <c r="H29" s="1" t="s">
        <v>12</v>
      </c>
    </row>
    <row r="30" spans="1:8">
      <c r="A30" s="3">
        <v>46038</v>
      </c>
      <c r="B30" s="9">
        <f>MONTH(Tabela2[[#This Row],[Data]])</f>
        <v>1</v>
      </c>
      <c r="C30" s="1" t="s">
        <v>8</v>
      </c>
      <c r="D30" s="1" t="s">
        <v>22</v>
      </c>
      <c r="E30" s="1" t="s">
        <v>58</v>
      </c>
      <c r="F30" s="2">
        <v>120000</v>
      </c>
      <c r="G30" s="1" t="s">
        <v>24</v>
      </c>
      <c r="H30" s="1" t="s">
        <v>12</v>
      </c>
    </row>
    <row r="31" spans="1:8">
      <c r="A31" s="3">
        <v>46038</v>
      </c>
      <c r="B31" s="9">
        <f>MONTH(Tabela2[[#This Row],[Data]])</f>
        <v>1</v>
      </c>
      <c r="C31" s="1" t="s">
        <v>8</v>
      </c>
      <c r="D31" s="1" t="s">
        <v>38</v>
      </c>
      <c r="E31" s="1" t="s">
        <v>59</v>
      </c>
      <c r="F31" s="2">
        <v>2990</v>
      </c>
      <c r="G31" s="1" t="s">
        <v>11</v>
      </c>
      <c r="H31" s="1" t="s">
        <v>12</v>
      </c>
    </row>
    <row r="32" spans="1:8">
      <c r="A32" s="3">
        <v>46251</v>
      </c>
      <c r="B32" s="9">
        <f>MONTH(Tabela2[[#This Row],[Data]])</f>
        <v>8</v>
      </c>
      <c r="C32" s="1" t="s">
        <v>8</v>
      </c>
      <c r="D32" s="1" t="s">
        <v>17</v>
      </c>
      <c r="E32" s="1" t="s">
        <v>60</v>
      </c>
      <c r="F32" s="2">
        <v>7500</v>
      </c>
      <c r="G32" s="1" t="s">
        <v>28</v>
      </c>
      <c r="H32" s="1" t="s">
        <v>12</v>
      </c>
    </row>
    <row r="33" spans="1:8">
      <c r="A33" s="3">
        <v>46039</v>
      </c>
      <c r="B33" s="9">
        <f>MONTH(Tabela2[[#This Row],[Data]])</f>
        <v>1</v>
      </c>
      <c r="C33" s="1" t="s">
        <v>8</v>
      </c>
      <c r="D33" s="1" t="s">
        <v>19</v>
      </c>
      <c r="E33" s="1" t="s">
        <v>61</v>
      </c>
      <c r="F33" s="2">
        <v>6340</v>
      </c>
      <c r="G33" s="1" t="s">
        <v>11</v>
      </c>
      <c r="H33" s="1" t="s">
        <v>12</v>
      </c>
    </row>
    <row r="34" spans="1:8">
      <c r="A34" s="3">
        <v>46040</v>
      </c>
      <c r="B34" s="9">
        <f>MONTH(Tabela2[[#This Row],[Data]])</f>
        <v>1</v>
      </c>
      <c r="C34" s="1" t="s">
        <v>13</v>
      </c>
      <c r="D34" s="1" t="s">
        <v>40</v>
      </c>
      <c r="E34" s="1" t="s">
        <v>62</v>
      </c>
      <c r="F34" s="2">
        <v>1822</v>
      </c>
      <c r="G34" s="1" t="s">
        <v>42</v>
      </c>
      <c r="H34" s="1" t="s">
        <v>12</v>
      </c>
    </row>
    <row r="35" spans="1:8">
      <c r="A35" s="3">
        <v>46040</v>
      </c>
      <c r="B35" s="9">
        <f>MONTH(Tabela2[[#This Row],[Data]])</f>
        <v>1</v>
      </c>
      <c r="C35" s="1" t="s">
        <v>8</v>
      </c>
      <c r="D35" s="1" t="s">
        <v>34</v>
      </c>
      <c r="E35" s="1" t="s">
        <v>63</v>
      </c>
      <c r="F35" s="2">
        <v>28900</v>
      </c>
      <c r="G35" s="1" t="s">
        <v>21</v>
      </c>
      <c r="H35" s="1" t="s">
        <v>12</v>
      </c>
    </row>
    <row r="36" spans="1:8">
      <c r="A36" s="3">
        <v>46041</v>
      </c>
      <c r="B36" s="9">
        <f>MONTH(Tabela2[[#This Row],[Data]])</f>
        <v>1</v>
      </c>
      <c r="C36" s="1" t="s">
        <v>8</v>
      </c>
      <c r="D36" s="1" t="s">
        <v>9</v>
      </c>
      <c r="E36" s="1" t="s">
        <v>64</v>
      </c>
      <c r="F36" s="2">
        <v>2890</v>
      </c>
      <c r="G36" s="1" t="s">
        <v>28</v>
      </c>
      <c r="H36" s="1" t="s">
        <v>12</v>
      </c>
    </row>
    <row r="37" spans="1:8">
      <c r="A37" s="3">
        <v>46041</v>
      </c>
      <c r="B37" s="9">
        <f>MONTH(Tabela2[[#This Row],[Data]])</f>
        <v>1</v>
      </c>
      <c r="C37" s="1" t="s">
        <v>8</v>
      </c>
      <c r="D37" s="1" t="s">
        <v>31</v>
      </c>
      <c r="E37" s="1" t="s">
        <v>65</v>
      </c>
      <c r="F37" s="2">
        <v>5990</v>
      </c>
      <c r="G37" s="1" t="s">
        <v>11</v>
      </c>
      <c r="H37" s="1" t="s">
        <v>12</v>
      </c>
    </row>
    <row r="38" spans="1:8">
      <c r="A38" s="3">
        <v>46042</v>
      </c>
      <c r="B38" s="9">
        <f>MONTH(Tabela2[[#This Row],[Data]])</f>
        <v>1</v>
      </c>
      <c r="C38" s="1" t="s">
        <v>8</v>
      </c>
      <c r="D38" s="1" t="s">
        <v>17</v>
      </c>
      <c r="E38" s="1" t="s">
        <v>66</v>
      </c>
      <c r="F38" s="2">
        <v>1200</v>
      </c>
      <c r="G38" s="1" t="s">
        <v>46</v>
      </c>
      <c r="H38" s="1" t="s">
        <v>12</v>
      </c>
    </row>
    <row r="39" spans="1:8">
      <c r="A39" s="3">
        <v>46042</v>
      </c>
      <c r="B39" s="9">
        <f>MONTH(Tabela2[[#This Row],[Data]])</f>
        <v>1</v>
      </c>
      <c r="C39" s="1" t="s">
        <v>8</v>
      </c>
      <c r="D39" s="1" t="s">
        <v>19</v>
      </c>
      <c r="E39" s="1" t="s">
        <v>67</v>
      </c>
      <c r="F39" s="2">
        <v>2190</v>
      </c>
      <c r="G39" s="1" t="s">
        <v>11</v>
      </c>
      <c r="H39" s="1" t="s">
        <v>12</v>
      </c>
    </row>
    <row r="40" spans="1:8">
      <c r="A40" s="3">
        <v>46043</v>
      </c>
      <c r="B40" s="9">
        <f>MONTH(Tabela2[[#This Row],[Data]])</f>
        <v>1</v>
      </c>
      <c r="C40" s="1" t="s">
        <v>13</v>
      </c>
      <c r="D40" s="1" t="s">
        <v>29</v>
      </c>
      <c r="E40" s="1" t="s">
        <v>68</v>
      </c>
      <c r="F40" s="2">
        <v>15000</v>
      </c>
      <c r="G40" s="1" t="s">
        <v>24</v>
      </c>
      <c r="H40" s="1" t="s">
        <v>12</v>
      </c>
    </row>
    <row r="41" spans="1:8">
      <c r="A41" s="3">
        <v>46043</v>
      </c>
      <c r="B41" s="9">
        <f>MONTH(Tabela2[[#This Row],[Data]])</f>
        <v>1</v>
      </c>
      <c r="C41" s="1" t="s">
        <v>8</v>
      </c>
      <c r="D41" s="1" t="s">
        <v>22</v>
      </c>
      <c r="E41" s="1" t="s">
        <v>69</v>
      </c>
      <c r="F41" s="2">
        <v>9500</v>
      </c>
      <c r="G41" s="1" t="s">
        <v>24</v>
      </c>
      <c r="H41" s="1" t="s">
        <v>12</v>
      </c>
    </row>
    <row r="42" spans="1:8">
      <c r="A42" s="3">
        <v>46044</v>
      </c>
      <c r="B42" s="9">
        <f>MONTH(Tabela2[[#This Row],[Data]])</f>
        <v>1</v>
      </c>
      <c r="C42" s="1" t="s">
        <v>8</v>
      </c>
      <c r="D42" s="1" t="s">
        <v>9</v>
      </c>
      <c r="E42" s="1" t="s">
        <v>70</v>
      </c>
      <c r="F42" s="2">
        <v>3460</v>
      </c>
      <c r="G42" s="1" t="s">
        <v>46</v>
      </c>
      <c r="H42" s="1" t="s">
        <v>12</v>
      </c>
    </row>
    <row r="43" spans="1:8">
      <c r="A43" s="3">
        <v>46044</v>
      </c>
      <c r="B43" s="9">
        <f>MONTH(Tabela2[[#This Row],[Data]])</f>
        <v>1</v>
      </c>
      <c r="C43" s="1" t="s">
        <v>8</v>
      </c>
      <c r="D43" s="1" t="s">
        <v>17</v>
      </c>
      <c r="E43" s="1" t="s">
        <v>71</v>
      </c>
      <c r="F43" s="2">
        <v>13500</v>
      </c>
      <c r="G43" s="1" t="s">
        <v>28</v>
      </c>
      <c r="H43" s="1" t="s">
        <v>12</v>
      </c>
    </row>
    <row r="44" spans="1:8">
      <c r="A44" s="3">
        <v>46045</v>
      </c>
      <c r="B44" s="9">
        <f>MONTH(Tabela2[[#This Row],[Data]])</f>
        <v>1</v>
      </c>
      <c r="C44" s="1" t="s">
        <v>8</v>
      </c>
      <c r="D44" s="1" t="s">
        <v>43</v>
      </c>
      <c r="E44" s="1" t="s">
        <v>72</v>
      </c>
      <c r="F44" s="2">
        <v>12000</v>
      </c>
      <c r="G44" s="1" t="s">
        <v>24</v>
      </c>
      <c r="H44" s="1" t="s">
        <v>12</v>
      </c>
    </row>
    <row r="45" spans="1:8">
      <c r="A45" s="3">
        <v>46045</v>
      </c>
      <c r="B45" s="9">
        <f>MONTH(Tabela2[[#This Row],[Data]])</f>
        <v>1</v>
      </c>
      <c r="C45" s="1" t="s">
        <v>8</v>
      </c>
      <c r="D45" s="1" t="s">
        <v>19</v>
      </c>
      <c r="E45" s="1" t="s">
        <v>73</v>
      </c>
      <c r="F45" s="2">
        <v>8870</v>
      </c>
      <c r="G45" s="1" t="s">
        <v>11</v>
      </c>
      <c r="H45" s="1" t="s">
        <v>12</v>
      </c>
    </row>
    <row r="46" spans="1:8">
      <c r="A46" s="3">
        <v>46046</v>
      </c>
      <c r="B46" s="9">
        <f>MONTH(Tabela2[[#This Row],[Data]])</f>
        <v>1</v>
      </c>
      <c r="C46" s="1" t="s">
        <v>8</v>
      </c>
      <c r="D46" s="1" t="s">
        <v>34</v>
      </c>
      <c r="E46" s="1" t="s">
        <v>74</v>
      </c>
      <c r="F46" s="2">
        <v>21050</v>
      </c>
      <c r="G46" s="1" t="s">
        <v>26</v>
      </c>
      <c r="H46" s="1" t="s">
        <v>12</v>
      </c>
    </row>
    <row r="47" spans="1:8">
      <c r="A47" s="3">
        <v>46046</v>
      </c>
      <c r="B47" s="9">
        <f>MONTH(Tabela2[[#This Row],[Data]])</f>
        <v>1</v>
      </c>
      <c r="C47" s="1" t="s">
        <v>13</v>
      </c>
      <c r="D47" s="1" t="s">
        <v>40</v>
      </c>
      <c r="E47" s="1" t="s">
        <v>75</v>
      </c>
      <c r="F47" s="2">
        <v>34000</v>
      </c>
      <c r="G47" s="1" t="s">
        <v>42</v>
      </c>
      <c r="H47" s="1" t="s">
        <v>12</v>
      </c>
    </row>
    <row r="48" spans="1:8">
      <c r="A48" s="3">
        <v>46047</v>
      </c>
      <c r="B48" s="9">
        <f>MONTH(Tabela2[[#This Row],[Data]])</f>
        <v>1</v>
      </c>
      <c r="C48" s="1" t="s">
        <v>8</v>
      </c>
      <c r="D48" s="1" t="s">
        <v>9</v>
      </c>
      <c r="E48" s="1" t="s">
        <v>76</v>
      </c>
      <c r="F48" s="2">
        <v>6190</v>
      </c>
      <c r="G48" s="1" t="s">
        <v>11</v>
      </c>
      <c r="H48" s="1" t="s">
        <v>12</v>
      </c>
    </row>
    <row r="49" spans="1:8">
      <c r="A49" s="3">
        <v>46047</v>
      </c>
      <c r="B49" s="9">
        <f>MONTH(Tabela2[[#This Row],[Data]])</f>
        <v>1</v>
      </c>
      <c r="C49" s="1" t="s">
        <v>8</v>
      </c>
      <c r="D49" s="1" t="s">
        <v>38</v>
      </c>
      <c r="E49" s="1" t="s">
        <v>77</v>
      </c>
      <c r="F49" s="2">
        <v>3000</v>
      </c>
      <c r="G49" s="1" t="s">
        <v>24</v>
      </c>
      <c r="H49" s="1" t="s">
        <v>12</v>
      </c>
    </row>
    <row r="50" spans="1:8">
      <c r="A50" s="3">
        <v>46048</v>
      </c>
      <c r="B50" s="9">
        <f>MONTH(Tabela2[[#This Row],[Data]])</f>
        <v>1</v>
      </c>
      <c r="C50" s="1" t="s">
        <v>8</v>
      </c>
      <c r="D50" s="1" t="s">
        <v>31</v>
      </c>
      <c r="E50" s="1" t="s">
        <v>78</v>
      </c>
      <c r="F50" s="2">
        <v>12900</v>
      </c>
      <c r="G50" s="1" t="s">
        <v>11</v>
      </c>
      <c r="H50" s="1" t="s">
        <v>79</v>
      </c>
    </row>
    <row r="51" spans="1:8">
      <c r="A51" s="3">
        <v>46048</v>
      </c>
      <c r="B51" s="9">
        <f>MONTH(Tabela2[[#This Row],[Data]])</f>
        <v>1</v>
      </c>
      <c r="C51" s="1" t="s">
        <v>8</v>
      </c>
      <c r="D51" s="1" t="s">
        <v>17</v>
      </c>
      <c r="E51" s="1" t="s">
        <v>80</v>
      </c>
      <c r="F51" s="2">
        <v>4820</v>
      </c>
      <c r="G51" s="1" t="s">
        <v>11</v>
      </c>
      <c r="H51" s="1" t="s">
        <v>79</v>
      </c>
    </row>
    <row r="52" spans="1:8">
      <c r="A52" s="3">
        <v>46049</v>
      </c>
      <c r="B52" s="9">
        <f>MONTH(Tabela2[[#This Row],[Data]])</f>
        <v>1</v>
      </c>
      <c r="C52" s="1" t="s">
        <v>13</v>
      </c>
      <c r="D52" s="1" t="s">
        <v>29</v>
      </c>
      <c r="E52" s="1" t="s">
        <v>81</v>
      </c>
      <c r="F52" s="2">
        <v>60000</v>
      </c>
      <c r="G52" s="1" t="s">
        <v>24</v>
      </c>
      <c r="H52" s="1" t="s">
        <v>82</v>
      </c>
    </row>
    <row r="53" spans="1:8">
      <c r="A53" s="3">
        <v>46049</v>
      </c>
      <c r="B53" s="9">
        <f>MONTH(Tabela2[[#This Row],[Data]])</f>
        <v>1</v>
      </c>
      <c r="C53" s="1" t="s">
        <v>8</v>
      </c>
      <c r="D53" s="1" t="s">
        <v>22</v>
      </c>
      <c r="E53" s="1" t="s">
        <v>83</v>
      </c>
      <c r="F53" s="2">
        <v>15000</v>
      </c>
      <c r="G53" s="1" t="s">
        <v>24</v>
      </c>
      <c r="H53" s="1" t="s">
        <v>79</v>
      </c>
    </row>
    <row r="54" spans="1:8">
      <c r="A54" s="3">
        <v>46050</v>
      </c>
      <c r="B54" s="9">
        <f>MONTH(Tabela2[[#This Row],[Data]])</f>
        <v>1</v>
      </c>
      <c r="C54" s="1" t="s">
        <v>8</v>
      </c>
      <c r="D54" s="1" t="s">
        <v>9</v>
      </c>
      <c r="E54" s="1" t="s">
        <v>84</v>
      </c>
      <c r="F54" s="2">
        <v>9730</v>
      </c>
      <c r="G54" s="1" t="s">
        <v>28</v>
      </c>
      <c r="H54" s="1" t="s">
        <v>79</v>
      </c>
    </row>
    <row r="55" spans="1:8">
      <c r="A55" s="3">
        <v>46050</v>
      </c>
      <c r="B55" s="9">
        <f>MONTH(Tabela2[[#This Row],[Data]])</f>
        <v>1</v>
      </c>
      <c r="C55" s="1" t="s">
        <v>8</v>
      </c>
      <c r="D55" s="1" t="s">
        <v>19</v>
      </c>
      <c r="E55" s="1" t="s">
        <v>85</v>
      </c>
      <c r="F55" s="2">
        <v>7999</v>
      </c>
      <c r="G55" s="1" t="s">
        <v>11</v>
      </c>
      <c r="H55" s="1" t="s">
        <v>79</v>
      </c>
    </row>
    <row r="56" spans="1:8">
      <c r="A56" s="3">
        <v>46051</v>
      </c>
      <c r="B56" s="9">
        <f>MONTH(Tabela2[[#This Row],[Data]])</f>
        <v>1</v>
      </c>
      <c r="C56" s="1" t="s">
        <v>8</v>
      </c>
      <c r="D56" s="1" t="s">
        <v>34</v>
      </c>
      <c r="E56" s="1" t="s">
        <v>86</v>
      </c>
      <c r="F56" s="2">
        <v>4320</v>
      </c>
      <c r="G56" s="1" t="s">
        <v>28</v>
      </c>
      <c r="H56" s="1" t="s">
        <v>79</v>
      </c>
    </row>
    <row r="57" spans="1:8">
      <c r="A57" s="3">
        <v>46051</v>
      </c>
      <c r="B57" s="9">
        <f>MONTH(Tabela2[[#This Row],[Data]])</f>
        <v>1</v>
      </c>
      <c r="C57" s="1" t="s">
        <v>8</v>
      </c>
      <c r="D57" s="1" t="s">
        <v>17</v>
      </c>
      <c r="E57" s="1" t="s">
        <v>87</v>
      </c>
      <c r="F57" s="2">
        <v>19000</v>
      </c>
      <c r="G57" s="1" t="s">
        <v>28</v>
      </c>
      <c r="H57" s="1" t="s">
        <v>79</v>
      </c>
    </row>
    <row r="58" spans="1:8">
      <c r="A58" s="3">
        <v>46052</v>
      </c>
      <c r="B58" s="9">
        <f>MONTH(Tabela2[[#This Row],[Data]])</f>
        <v>1</v>
      </c>
      <c r="C58" s="1" t="s">
        <v>13</v>
      </c>
      <c r="D58" s="1" t="s">
        <v>14</v>
      </c>
      <c r="E58" s="1" t="s">
        <v>88</v>
      </c>
      <c r="F58" s="2">
        <v>50000</v>
      </c>
      <c r="G58" s="1" t="s">
        <v>16</v>
      </c>
      <c r="H58" s="1" t="s">
        <v>82</v>
      </c>
    </row>
    <row r="59" spans="1:8">
      <c r="A59" s="3">
        <v>46052</v>
      </c>
      <c r="B59" s="9">
        <f>MONTH(Tabela2[[#This Row],[Data]])</f>
        <v>1</v>
      </c>
      <c r="C59" s="1" t="s">
        <v>8</v>
      </c>
      <c r="D59" s="1" t="s">
        <v>38</v>
      </c>
      <c r="E59" s="1" t="s">
        <v>89</v>
      </c>
      <c r="F59" s="2">
        <v>4990</v>
      </c>
      <c r="G59" s="1" t="s">
        <v>11</v>
      </c>
      <c r="H59" s="1" t="s">
        <v>79</v>
      </c>
    </row>
    <row r="60" spans="1:8">
      <c r="A60" s="3">
        <v>46387</v>
      </c>
      <c r="B60" s="9">
        <f>MONTH(Tabela2[[#This Row],[Data]])</f>
        <v>12</v>
      </c>
      <c r="C60" s="1" t="s">
        <v>8</v>
      </c>
      <c r="D60" s="1" t="s">
        <v>19</v>
      </c>
      <c r="E60" s="1" t="s">
        <v>90</v>
      </c>
      <c r="F60" s="2">
        <v>12000</v>
      </c>
      <c r="G60" s="1" t="s">
        <v>46</v>
      </c>
      <c r="H60" s="1" t="s">
        <v>79</v>
      </c>
    </row>
    <row r="61" spans="1:8">
      <c r="A61" s="3">
        <v>46053</v>
      </c>
      <c r="B61" s="9">
        <f>MONTH(Tabela2[[#This Row],[Data]])</f>
        <v>1</v>
      </c>
      <c r="C61" s="1" t="s">
        <v>13</v>
      </c>
      <c r="D61" s="1" t="s">
        <v>29</v>
      </c>
      <c r="E61" s="1" t="s">
        <v>91</v>
      </c>
      <c r="F61" s="2">
        <v>22000</v>
      </c>
      <c r="G61" s="1" t="s">
        <v>24</v>
      </c>
      <c r="H61" s="1" t="s">
        <v>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8541-E9F6-4D07-AF14-B5ABDAF791B6}">
  <dimension ref="A2:D23"/>
  <sheetViews>
    <sheetView topLeftCell="A11" workbookViewId="0">
      <selection activeCell="A17" sqref="A17:B23"/>
    </sheetView>
  </sheetViews>
  <sheetFormatPr defaultRowHeight="15"/>
  <cols>
    <col min="1" max="1" width="13.140625" bestFit="1" customWidth="1"/>
    <col min="2" max="2" width="13.7109375" bestFit="1" customWidth="1"/>
    <col min="3" max="3" width="12.85546875" bestFit="1" customWidth="1"/>
    <col min="4" max="4" width="13.5703125" bestFit="1" customWidth="1"/>
    <col min="5" max="5" width="5.5703125" bestFit="1" customWidth="1"/>
    <col min="6" max="6" width="13.140625" bestFit="1" customWidth="1"/>
    <col min="7" max="7" width="13.7109375" bestFit="1" customWidth="1"/>
    <col min="8" max="8" width="11.5703125" bestFit="1" customWidth="1"/>
    <col min="9" max="9" width="7" bestFit="1" customWidth="1"/>
    <col min="10" max="10" width="6.28515625" bestFit="1" customWidth="1"/>
    <col min="11" max="11" width="10.5703125" bestFit="1" customWidth="1"/>
    <col min="12" max="12" width="10.7109375" bestFit="1" customWidth="1"/>
    <col min="13" max="31" width="11.42578125" bestFit="1" customWidth="1"/>
    <col min="32" max="32" width="10.7109375" bestFit="1" customWidth="1"/>
  </cols>
  <sheetData>
    <row r="2" spans="1:4">
      <c r="A2" s="4" t="s">
        <v>2</v>
      </c>
      <c r="B2" t="s">
        <v>8</v>
      </c>
    </row>
    <row r="4" spans="1:4">
      <c r="A4" s="4" t="s">
        <v>3</v>
      </c>
      <c r="B4" t="s">
        <v>92</v>
      </c>
    </row>
    <row r="5" spans="1:4">
      <c r="A5" t="s">
        <v>9</v>
      </c>
      <c r="B5" s="2">
        <v>99862</v>
      </c>
    </row>
    <row r="6" spans="1:4">
      <c r="A6" t="s">
        <v>31</v>
      </c>
      <c r="B6" s="2">
        <v>36380</v>
      </c>
    </row>
    <row r="7" spans="1:4">
      <c r="A7" t="s">
        <v>38</v>
      </c>
      <c r="B7" s="2">
        <v>21970</v>
      </c>
    </row>
    <row r="8" spans="1:4">
      <c r="A8" t="s">
        <v>19</v>
      </c>
      <c r="B8" s="2">
        <v>52078</v>
      </c>
    </row>
    <row r="9" spans="1:4">
      <c r="A9" t="s">
        <v>22</v>
      </c>
      <c r="B9" s="2">
        <v>190735</v>
      </c>
    </row>
    <row r="10" spans="1:4">
      <c r="A10" t="s">
        <v>43</v>
      </c>
      <c r="B10" s="2">
        <v>20990</v>
      </c>
    </row>
    <row r="11" spans="1:4">
      <c r="A11" t="s">
        <v>34</v>
      </c>
      <c r="B11" s="2">
        <v>77940</v>
      </c>
    </row>
    <row r="12" spans="1:4">
      <c r="A12" t="s">
        <v>17</v>
      </c>
      <c r="B12" s="2">
        <v>63860</v>
      </c>
    </row>
    <row r="13" spans="1:4">
      <c r="A13" t="s">
        <v>93</v>
      </c>
      <c r="B13" s="2">
        <v>563815</v>
      </c>
    </row>
    <row r="16" spans="1:4">
      <c r="D16" s="7"/>
    </row>
    <row r="17" spans="1:2">
      <c r="A17" s="4" t="s">
        <v>2</v>
      </c>
      <c r="B17" t="s">
        <v>13</v>
      </c>
    </row>
    <row r="19" spans="1:2">
      <c r="A19" s="4" t="s">
        <v>3</v>
      </c>
      <c r="B19" t="s">
        <v>92</v>
      </c>
    </row>
    <row r="20" spans="1:2">
      <c r="A20" t="s">
        <v>40</v>
      </c>
      <c r="B20" s="2">
        <v>42057</v>
      </c>
    </row>
    <row r="21" spans="1:2">
      <c r="A21" t="s">
        <v>29</v>
      </c>
      <c r="B21" s="2">
        <v>154000</v>
      </c>
    </row>
    <row r="22" spans="1:2">
      <c r="A22" t="s">
        <v>14</v>
      </c>
      <c r="B22" s="2">
        <v>463000</v>
      </c>
    </row>
    <row r="23" spans="1:2">
      <c r="A23" t="s">
        <v>93</v>
      </c>
      <c r="B23" s="2">
        <v>659057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B73C-2EB5-47DB-BF63-45419F5F8374}">
  <dimension ref="A1:E30"/>
  <sheetViews>
    <sheetView workbookViewId="0">
      <selection activeCell="O11" sqref="O11"/>
    </sheetView>
  </sheetViews>
  <sheetFormatPr defaultRowHeight="15"/>
  <cols>
    <col min="1" max="1" width="21" bestFit="1" customWidth="1"/>
    <col min="2" max="2" width="16.85546875" bestFit="1" customWidth="1"/>
    <col min="4" max="4" width="25.42578125" bestFit="1" customWidth="1"/>
    <col min="5" max="5" width="14" customWidth="1"/>
  </cols>
  <sheetData>
    <row r="1" spans="1:5">
      <c r="A1" t="s">
        <v>94</v>
      </c>
      <c r="B1" t="s">
        <v>95</v>
      </c>
    </row>
    <row r="2" spans="1:5" ht="19.5">
      <c r="A2" s="11">
        <v>45998</v>
      </c>
      <c r="B2" s="12">
        <f ca="1">RANDBETWEEN(20,250)</f>
        <v>102</v>
      </c>
      <c r="D2" s="13" t="s">
        <v>96</v>
      </c>
      <c r="E2" s="14">
        <f ca="1">SUM(Tabela1[Valor guardado])</f>
        <v>2206</v>
      </c>
    </row>
    <row r="3" spans="1:5" ht="19.5">
      <c r="A3" s="11">
        <v>45999</v>
      </c>
      <c r="B3" s="12">
        <f t="shared" ref="B3:B16" ca="1" si="0">RANDBETWEEN(20,250)</f>
        <v>108</v>
      </c>
      <c r="D3" s="13" t="s">
        <v>97</v>
      </c>
      <c r="E3" s="14">
        <v>20000</v>
      </c>
    </row>
    <row r="4" spans="1:5">
      <c r="A4" s="11">
        <v>46000</v>
      </c>
      <c r="B4" s="12">
        <f t="shared" ca="1" si="0"/>
        <v>213</v>
      </c>
    </row>
    <row r="5" spans="1:5">
      <c r="A5" s="11">
        <v>46001</v>
      </c>
      <c r="B5" s="12">
        <f t="shared" ca="1" si="0"/>
        <v>246</v>
      </c>
    </row>
    <row r="6" spans="1:5">
      <c r="A6" s="11">
        <v>46002</v>
      </c>
      <c r="B6" s="12">
        <f t="shared" ca="1" si="0"/>
        <v>178</v>
      </c>
    </row>
    <row r="7" spans="1:5">
      <c r="A7" s="11">
        <v>46003</v>
      </c>
      <c r="B7" s="12">
        <f t="shared" ca="1" si="0"/>
        <v>90</v>
      </c>
    </row>
    <row r="8" spans="1:5">
      <c r="A8" s="11">
        <v>46004</v>
      </c>
      <c r="B8" s="12">
        <f t="shared" ca="1" si="0"/>
        <v>94</v>
      </c>
    </row>
    <row r="9" spans="1:5">
      <c r="A9" s="11">
        <v>46005</v>
      </c>
      <c r="B9" s="12">
        <f t="shared" ca="1" si="0"/>
        <v>131</v>
      </c>
    </row>
    <row r="10" spans="1:5">
      <c r="A10" s="11">
        <v>46006</v>
      </c>
      <c r="B10" s="12">
        <f t="shared" ca="1" si="0"/>
        <v>158</v>
      </c>
    </row>
    <row r="11" spans="1:5">
      <c r="A11" s="11">
        <v>46007</v>
      </c>
      <c r="B11" s="12">
        <f t="shared" ca="1" si="0"/>
        <v>216</v>
      </c>
    </row>
    <row r="12" spans="1:5">
      <c r="A12" s="11">
        <v>46008</v>
      </c>
      <c r="B12" s="12">
        <f t="shared" ca="1" si="0"/>
        <v>69</v>
      </c>
    </row>
    <row r="13" spans="1:5">
      <c r="A13" s="11">
        <v>46009</v>
      </c>
      <c r="B13" s="12">
        <f t="shared" ca="1" si="0"/>
        <v>232</v>
      </c>
    </row>
    <row r="14" spans="1:5">
      <c r="A14" s="11">
        <v>46010</v>
      </c>
      <c r="B14" s="12">
        <f t="shared" ca="1" si="0"/>
        <v>100</v>
      </c>
    </row>
    <row r="15" spans="1:5">
      <c r="A15" s="11">
        <v>46011</v>
      </c>
      <c r="B15" s="12">
        <f t="shared" ca="1" si="0"/>
        <v>162</v>
      </c>
    </row>
    <row r="16" spans="1:5">
      <c r="A16" s="11">
        <v>46012</v>
      </c>
      <c r="B16" s="12">
        <f t="shared" ca="1" si="0"/>
        <v>107</v>
      </c>
    </row>
    <row r="17" spans="1:2">
      <c r="A17" s="10"/>
      <c r="B17" s="2"/>
    </row>
    <row r="18" spans="1:2">
      <c r="B18" s="2"/>
    </row>
    <row r="19" spans="1:2">
      <c r="B19" s="2"/>
    </row>
    <row r="20" spans="1:2">
      <c r="B20" s="2"/>
    </row>
    <row r="21" spans="1:2">
      <c r="B21" s="2"/>
    </row>
    <row r="22" spans="1:2">
      <c r="B22" s="2"/>
    </row>
    <row r="23" spans="1:2">
      <c r="B23" s="2"/>
    </row>
    <row r="24" spans="1:2">
      <c r="B24" s="2"/>
    </row>
    <row r="25" spans="1:2">
      <c r="B25" s="2"/>
    </row>
    <row r="26" spans="1:2">
      <c r="B26" s="2"/>
    </row>
    <row r="27" spans="1:2">
      <c r="B27" s="2"/>
    </row>
    <row r="28" spans="1:2">
      <c r="B28" s="2"/>
    </row>
    <row r="29" spans="1:2">
      <c r="B29" s="2"/>
    </row>
    <row r="30" spans="1:2">
      <c r="B3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FC44-C7A7-430B-8FC7-77CC297447DB}">
  <dimension ref="A1"/>
  <sheetViews>
    <sheetView showGridLines="0" showRowColHeaders="0" tabSelected="1" workbookViewId="0">
      <selection activeCell="W7" sqref="W7"/>
    </sheetView>
  </sheetViews>
  <sheetFormatPr defaultRowHeight="15"/>
  <cols>
    <col min="1" max="1" width="21" style="5" customWidth="1"/>
    <col min="2" max="14" width="9.140625" style="6"/>
    <col min="15" max="15" width="13.140625" style="6" customWidth="1"/>
    <col min="16" max="16" width="13.7109375" style="6" customWidth="1"/>
    <col min="17" max="16384" width="9.140625" style="6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2026-02-05T17:41:27Z</dcterms:created>
  <dcterms:modified xsi:type="dcterms:W3CDTF">2026-02-07T19:35:28Z</dcterms:modified>
  <cp:category/>
  <cp:contentStatus/>
</cp:coreProperties>
</file>